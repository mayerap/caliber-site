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" sheetId="1" state="visible" r:id="rId3"/>
    <sheet name="Max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<sst xmlns="http://schemas.openxmlformats.org/spreadsheetml/2006/main" count="252" uniqueCount="44">
  <si>
    <t xml:space="preserve">Week</t>
  </si>
  <si>
    <t xml:space="preserve">Day</t>
  </si>
  <si>
    <t xml:space="preserve">Exercise</t>
  </si>
  <si>
    <t xml:space="preserve">Sets</t>
  </si>
  <si>
    <t xml:space="preserve">Reps</t>
  </si>
  <si>
    <t xml:space="preserve">RPE</t>
  </si>
  <si>
    <t xml:space="preserve">%1RM</t>
  </si>
  <si>
    <t xml:space="preserve">Weight</t>
  </si>
  <si>
    <t xml:space="preserve">Rest</t>
  </si>
  <si>
    <t xml:space="preserve">Technique</t>
  </si>
  <si>
    <t xml:space="preserve">Notes</t>
  </si>
  <si>
    <t xml:space="preserve">Day 1</t>
  </si>
  <si>
    <t xml:space="preserve">Overhead press</t>
  </si>
  <si>
    <t xml:space="preserve">76.5%</t>
  </si>
  <si>
    <t xml:space="preserve">4 min</t>
  </si>
  <si>
    <t xml:space="preserve">AMRAP</t>
  </si>
  <si>
    <t xml:space="preserve">Main sets, % of training max (90% of 1RM). 65% x5, 75% x5, then this set.</t>
  </si>
  <si>
    <t xml:space="preserve">Overhead press (BBB 5x10)</t>
  </si>
  <si>
    <t xml:space="preserve">45%</t>
  </si>
  <si>
    <t xml:space="preserve">90 sec</t>
  </si>
  <si>
    <t xml:space="preserve">Boring But Big: 50% of training max. Raise toward 60% over cycles.</t>
  </si>
  <si>
    <t xml:space="preserve">Assistance: pull (rows or chin-ups)</t>
  </si>
  <si>
    <t xml:space="preserve">10-15</t>
  </si>
  <si>
    <t xml:space="preserve">60 sec</t>
  </si>
  <si>
    <t xml:space="preserve">25-50 total reps</t>
  </si>
  <si>
    <t xml:space="preserve">Day 2</t>
  </si>
  <si>
    <t xml:space="preserve">Deadlift</t>
  </si>
  <si>
    <t xml:space="preserve">Deadlift (BBB 5x10)</t>
  </si>
  <si>
    <t xml:space="preserve">Day 3</t>
  </si>
  <si>
    <t xml:space="preserve">Bench press</t>
  </si>
  <si>
    <t xml:space="preserve">Bench press (BBB 5x10)</t>
  </si>
  <si>
    <t xml:space="preserve">Day 4</t>
  </si>
  <si>
    <t xml:space="preserve">Squat</t>
  </si>
  <si>
    <t xml:space="preserve">Squat (BBB 5x10)</t>
  </si>
  <si>
    <t xml:space="preserve">81.0%</t>
  </si>
  <si>
    <t xml:space="preserve">Main sets, % of training max (90% of 1RM). 70% x3, 80% x3, then this set.</t>
  </si>
  <si>
    <t xml:space="preserve">85.5%</t>
  </si>
  <si>
    <t xml:space="preserve">Main sets, % of training max (90% of 1RM). 75% x5, 85% x3, then this set.</t>
  </si>
  <si>
    <t xml:space="preserve">54.0%</t>
  </si>
  <si>
    <t xml:space="preserve">Main sets, % of training max (90% of 1RM). Deload: 40% x5, 50% x5, then this set.</t>
  </si>
  <si>
    <t xml:space="preserve">1RM</t>
  </si>
  <si>
    <t xml:space="preserve">How to use</t>
  </si>
  <si>
    <t xml:space="preserve">Replace the blue example maxes (yellow cells) with your own one-rep maxes, in lb.</t>
  </si>
  <si>
    <t xml:space="preserve">Then import this file into Caliber. Percentages on the Program tab become weights.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</si>
</sst>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34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n">
        <v>1</v>
      </c>
      <c r="B2" s="2" t="inlineStr">
        <is>
          <t>Day 1</t>
        </is>
      </c>
      <c r="C2" s="2" t="inlineStr">
        <is>
          <t>Overhead press (set 1)</t>
        </is>
      </c>
      <c r="D2" s="2" t="n">
        <v>1</v>
      </c>
      <c r="E2" s="2" t="n">
        <v>5</v>
      </c>
      <c r="F2" s="2"/>
      <c r="G2" s="2" t="inlineStr">
        <is>
          <t>58.5%</t>
        </is>
      </c>
      <c r="H2" s="2" t="n">
        <f aca="false">ROUND(Maxes!$B$5*0.585/5,0)*5</f>
        <v>85</v>
      </c>
      <c r="I2" s="2" t="inlineStr">
        <is>
          <t>2 min</t>
        </is>
      </c>
      <c r="J2" s="2"/>
      <c r="K2" s="2" t="inlineStr">
        <is>
          <t>Training max = 90% of 1RM. This week: 65% x5, 75% x5, 85% x5+.</t>
        </is>
      </c>
    </row>
    <row r="3" customFormat="false" ht="15" hidden="false" customHeight="false" outlineLevel="0" collapsed="false">
      <c r="A3" s="2" t="n">
        <v>1</v>
      </c>
      <c r="B3" s="2" t="inlineStr">
        <is>
          <t>Day 1</t>
        </is>
      </c>
      <c r="C3" s="2" t="inlineStr">
        <is>
          <t>Overhead press (set 2)</t>
        </is>
      </c>
      <c r="D3" s="2" t="n">
        <v>1</v>
      </c>
      <c r="E3" s="2" t="n">
        <v>5</v>
      </c>
      <c r="F3" s="2"/>
      <c r="G3" s="2" t="inlineStr">
        <is>
          <t>67.5%</t>
        </is>
      </c>
      <c r="H3" s="2" t="n">
        <f aca="false">ROUND(Maxes!$B$5*0.675/5,0)*5</f>
        <v>100</v>
      </c>
      <c r="I3" s="2" t="inlineStr">
        <is>
          <t>3 min</t>
        </is>
      </c>
      <c r="J3" s="2"/>
      <c r="K3" s="2"/>
    </row>
    <row r="4" customFormat="false" ht="15" hidden="false" customHeight="false" outlineLevel="0" collapsed="false">
      <c r="A4" s="2" t="n">
        <v>1</v>
      </c>
      <c r="B4" s="2" t="inlineStr">
        <is>
          <t>Day 1</t>
        </is>
      </c>
      <c r="C4" s="2" t="inlineStr">
        <is>
          <t>Overhead press</t>
        </is>
      </c>
      <c r="D4" s="2" t="n">
        <v>1</v>
      </c>
      <c r="E4" s="2" t="n">
        <v>5</v>
      </c>
      <c r="F4" s="2"/>
      <c r="G4" s="2" t="inlineStr">
        <is>
          <t>76.5%</t>
        </is>
      </c>
      <c r="H4" s="2"/>
      <c r="I4" s="2" t="inlineStr">
        <is>
          <t>4 min</t>
        </is>
      </c>
      <c r="J4" s="2" t="inlineStr">
        <is>
          <t>AMRAP</t>
        </is>
      </c>
      <c r="K4" s="2" t="inlineStr">
        <is>
          <t>Top set: as many good reps as you can (at least 5). Log them.</t>
        </is>
      </c>
    </row>
    <row r="5" customFormat="false" ht="15" hidden="false" customHeight="false" outlineLevel="0" collapsed="false">
      <c r="A5" s="2" t="n">
        <v>1</v>
      </c>
      <c r="B5" s="2" t="inlineStr">
        <is>
          <t>Day 1</t>
        </is>
      </c>
      <c r="C5" s="2" t="inlineStr">
        <is>
          <t>Overhead press (BBB 5x10)</t>
        </is>
      </c>
      <c r="D5" s="2" t="n">
        <v>5</v>
      </c>
      <c r="E5" s="2" t="n">
        <v>10</v>
      </c>
      <c r="F5" s="2"/>
      <c r="G5" s="2" t="inlineStr">
        <is>
          <t>45%</t>
        </is>
      </c>
      <c r="H5" s="2" t="n">
        <f aca="false">ROUND(Maxes!$B$5*0.45/5,0)*5</f>
        <v>65</v>
      </c>
      <c r="I5" s="2" t="inlineStr">
        <is>
          <t>90 sec</t>
        </is>
      </c>
      <c r="J5" s="2"/>
      <c r="K5" s="2" t="inlineStr">
        <is>
          <t>Boring But Big: 50% of training max. Raise toward 60% over cycles.</t>
        </is>
      </c>
    </row>
    <row r="6" customFormat="false" ht="15" hidden="false" customHeight="false" outlineLevel="0" collapsed="false">
      <c r="A6" s="2" t="n">
        <v>1</v>
      </c>
      <c r="B6" s="2" t="inlineStr">
        <is>
          <t>Day 1</t>
        </is>
      </c>
      <c r="C6" s="2" t="inlineStr">
        <is>
          <t>Assistance: pull (rows or chin-ups)</t>
        </is>
      </c>
      <c r="D6" s="2" t="n">
        <v>3</v>
      </c>
      <c r="E6" s="2" t="inlineStr">
        <is>
          <t>10-15</t>
        </is>
      </c>
      <c r="F6" s="2" t="n">
        <v>8</v>
      </c>
      <c r="G6" s="2"/>
      <c r="H6" s="2"/>
      <c r="I6" s="2" t="inlineStr">
        <is>
          <t>60 sec</t>
        </is>
      </c>
      <c r="J6" s="2"/>
      <c r="K6" s="2" t="inlineStr">
        <is>
          <t>25-50 total reps</t>
        </is>
      </c>
    </row>
    <row r="7" customFormat="false" ht="15" hidden="false" customHeight="false" outlineLevel="0" collapsed="false">
      <c r="A7" s="2" t="n">
        <v>1</v>
      </c>
      <c r="B7" s="2" t="inlineStr">
        <is>
          <t>Day 2</t>
        </is>
      </c>
      <c r="C7" s="2" t="inlineStr">
        <is>
          <t>Deadlift (set 1)</t>
        </is>
      </c>
      <c r="D7" s="2" t="n">
        <v>1</v>
      </c>
      <c r="E7" s="2" t="n">
        <v>5</v>
      </c>
      <c r="F7" s="2"/>
      <c r="G7" s="2" t="inlineStr">
        <is>
          <t>58.5%</t>
        </is>
      </c>
      <c r="H7" s="2" t="n">
        <f aca="false">ROUND(Maxes!$B$4*0.585/5,0)*5</f>
        <v>235</v>
      </c>
      <c r="I7" s="2" t="inlineStr">
        <is>
          <t>2 min</t>
        </is>
      </c>
      <c r="J7" s="2"/>
      <c r="K7" s="2" t="inlineStr">
        <is>
          <t>Training max = 90% of 1RM. This week: 65% x5, 75% x5, 85% x5+.</t>
        </is>
      </c>
    </row>
    <row r="8" customFormat="false" ht="15" hidden="false" customHeight="false" outlineLevel="0" collapsed="false">
      <c r="A8" s="2" t="n">
        <v>1</v>
      </c>
      <c r="B8" s="2" t="inlineStr">
        <is>
          <t>Day 2</t>
        </is>
      </c>
      <c r="C8" s="2" t="inlineStr">
        <is>
          <t>Deadlift (set 2)</t>
        </is>
      </c>
      <c r="D8" s="2" t="n">
        <v>1</v>
      </c>
      <c r="E8" s="2" t="n">
        <v>5</v>
      </c>
      <c r="F8" s="2"/>
      <c r="G8" s="2" t="inlineStr">
        <is>
          <t>67.5%</t>
        </is>
      </c>
      <c r="H8" s="2" t="n">
        <f aca="false">ROUND(Maxes!$B$4*0.675/5,0)*5</f>
        <v>275</v>
      </c>
      <c r="I8" s="2" t="inlineStr">
        <is>
          <t>3 min</t>
        </is>
      </c>
      <c r="J8" s="2"/>
      <c r="K8" s="2"/>
    </row>
    <row r="9" customFormat="false" ht="15" hidden="false" customHeight="false" outlineLevel="0" collapsed="false">
      <c r="A9" s="2" t="n">
        <v>1</v>
      </c>
      <c r="B9" s="2" t="inlineStr">
        <is>
          <t>Day 2</t>
        </is>
      </c>
      <c r="C9" s="2" t="inlineStr">
        <is>
          <t>Deadlift</t>
        </is>
      </c>
      <c r="D9" s="2" t="n">
        <v>1</v>
      </c>
      <c r="E9" s="2" t="n">
        <v>5</v>
      </c>
      <c r="F9" s="2"/>
      <c r="G9" s="2" t="inlineStr">
        <is>
          <t>76.5%</t>
        </is>
      </c>
      <c r="H9" s="2"/>
      <c r="I9" s="2" t="inlineStr">
        <is>
          <t>4 min</t>
        </is>
      </c>
      <c r="J9" s="2" t="inlineStr">
        <is>
          <t>AMRAP</t>
        </is>
      </c>
      <c r="K9" s="2" t="inlineStr">
        <is>
          <t>Top set: as many good reps as you can (at least 5). Log them.</t>
        </is>
      </c>
    </row>
    <row r="10" customFormat="false" ht="15" hidden="false" customHeight="false" outlineLevel="0" collapsed="false">
      <c r="A10" s="2" t="n">
        <v>1</v>
      </c>
      <c r="B10" s="2" t="inlineStr">
        <is>
          <t>Day 2</t>
        </is>
      </c>
      <c r="C10" s="2" t="inlineStr">
        <is>
          <t>Deadlift (BBB 5x10)</t>
        </is>
      </c>
      <c r="D10" s="2" t="n">
        <v>5</v>
      </c>
      <c r="E10" s="2" t="n">
        <v>10</v>
      </c>
      <c r="F10" s="2"/>
      <c r="G10" s="2" t="inlineStr">
        <is>
          <t>45%</t>
        </is>
      </c>
      <c r="H10" s="2" t="n">
        <f aca="false">ROUND(Maxes!$B$4*0.45/5,0)*5</f>
        <v>180</v>
      </c>
      <c r="I10" s="2" t="inlineStr">
        <is>
          <t>90 sec</t>
        </is>
      </c>
      <c r="J10" s="2"/>
      <c r="K10" s="2" t="inlineStr">
        <is>
          <t>Boring But Big: 50% of training max. Raise toward 60% over cycles.</t>
        </is>
      </c>
    </row>
    <row r="11" customFormat="false" ht="15" hidden="false" customHeight="false" outlineLevel="0" collapsed="false">
      <c r="A11" s="2" t="n">
        <v>1</v>
      </c>
      <c r="B11" s="2" t="inlineStr">
        <is>
          <t>Day 2</t>
        </is>
      </c>
      <c r="C11" s="2" t="inlineStr">
        <is>
          <t>Assistance: pull (rows or chin-ups)</t>
        </is>
      </c>
      <c r="D11" s="2" t="n">
        <v>3</v>
      </c>
      <c r="E11" s="2" t="inlineStr">
        <is>
          <t>10-15</t>
        </is>
      </c>
      <c r="F11" s="2" t="n">
        <v>8</v>
      </c>
      <c r="G11" s="2"/>
      <c r="H11" s="2"/>
      <c r="I11" s="2" t="inlineStr">
        <is>
          <t>60 sec</t>
        </is>
      </c>
      <c r="J11" s="2"/>
      <c r="K11" s="2" t="inlineStr">
        <is>
          <t>25-50 total reps</t>
        </is>
      </c>
    </row>
    <row r="12" customFormat="false" ht="15" hidden="false" customHeight="false" outlineLevel="0" collapsed="false">
      <c r="A12" s="2" t="n">
        <v>1</v>
      </c>
      <c r="B12" s="2" t="inlineStr">
        <is>
          <t>Day 3</t>
        </is>
      </c>
      <c r="C12" s="2" t="inlineStr">
        <is>
          <t>Bench press (set 1)</t>
        </is>
      </c>
      <c r="D12" s="2" t="n">
        <v>1</v>
      </c>
      <c r="E12" s="2" t="n">
        <v>5</v>
      </c>
      <c r="F12" s="2"/>
      <c r="G12" s="2" t="inlineStr">
        <is>
          <t>58.5%</t>
        </is>
      </c>
      <c r="H12" s="2" t="n">
        <f aca="false">ROUND(Maxes!$B$3*0.585/5,0)*5</f>
        <v>130</v>
      </c>
      <c r="I12" s="2" t="inlineStr">
        <is>
          <t>2 min</t>
        </is>
      </c>
      <c r="J12" s="2"/>
      <c r="K12" s="2" t="inlineStr">
        <is>
          <t>Training max = 90% of 1RM. This week: 65% x5, 75% x5, 85% x5+.</t>
        </is>
      </c>
    </row>
    <row r="13" customFormat="false" ht="15" hidden="false" customHeight="false" outlineLevel="0" collapsed="false">
      <c r="A13" s="2" t="n">
        <v>1</v>
      </c>
      <c r="B13" s="2" t="inlineStr">
        <is>
          <t>Day 3</t>
        </is>
      </c>
      <c r="C13" s="2" t="inlineStr">
        <is>
          <t>Bench press (set 2)</t>
        </is>
      </c>
      <c r="D13" s="2" t="n">
        <v>1</v>
      </c>
      <c r="E13" s="2" t="n">
        <v>5</v>
      </c>
      <c r="F13" s="2"/>
      <c r="G13" s="2" t="inlineStr">
        <is>
          <t>67.5%</t>
        </is>
      </c>
      <c r="H13" s="2" t="n">
        <f aca="false">ROUND(Maxes!$B$3*0.675/5,0)*5</f>
        <v>150</v>
      </c>
      <c r="I13" s="2" t="inlineStr">
        <is>
          <t>3 min</t>
        </is>
      </c>
      <c r="J13" s="2"/>
      <c r="K13" s="2"/>
    </row>
    <row r="14" customFormat="false" ht="15" hidden="false" customHeight="false" outlineLevel="0" collapsed="false">
      <c r="A14" s="2" t="n">
        <v>1</v>
      </c>
      <c r="B14" s="2" t="inlineStr">
        <is>
          <t>Day 3</t>
        </is>
      </c>
      <c r="C14" s="2" t="inlineStr">
        <is>
          <t>Bench press</t>
        </is>
      </c>
      <c r="D14" s="2" t="n">
        <v>1</v>
      </c>
      <c r="E14" s="2" t="n">
        <v>5</v>
      </c>
      <c r="F14" s="2"/>
      <c r="G14" s="2" t="inlineStr">
        <is>
          <t>76.5%</t>
        </is>
      </c>
      <c r="H14" s="2"/>
      <c r="I14" s="2" t="inlineStr">
        <is>
          <t>4 min</t>
        </is>
      </c>
      <c r="J14" s="2" t="inlineStr">
        <is>
          <t>AMRAP</t>
        </is>
      </c>
      <c r="K14" s="2" t="inlineStr">
        <is>
          <t>Top set: as many good reps as you can (at least 5). Log them.</t>
        </is>
      </c>
    </row>
    <row r="15" customFormat="false" ht="15" hidden="false" customHeight="false" outlineLevel="0" collapsed="false">
      <c r="A15" s="2" t="n">
        <v>1</v>
      </c>
      <c r="B15" s="2" t="inlineStr">
        <is>
          <t>Day 3</t>
        </is>
      </c>
      <c r="C15" s="2" t="inlineStr">
        <is>
          <t>Bench press (BBB 5x10)</t>
        </is>
      </c>
      <c r="D15" s="2" t="n">
        <v>5</v>
      </c>
      <c r="E15" s="2" t="n">
        <v>10</v>
      </c>
      <c r="F15" s="2"/>
      <c r="G15" s="2" t="inlineStr">
        <is>
          <t>45%</t>
        </is>
      </c>
      <c r="H15" s="2" t="n">
        <f aca="false">ROUND(Maxes!$B$3*0.45/5,0)*5</f>
        <v>100</v>
      </c>
      <c r="I15" s="2" t="inlineStr">
        <is>
          <t>90 sec</t>
        </is>
      </c>
      <c r="J15" s="2"/>
      <c r="K15" s="2" t="inlineStr">
        <is>
          <t>Boring But Big: 50% of training max. Raise toward 60% over cycles.</t>
        </is>
      </c>
    </row>
    <row r="16" customFormat="false" ht="15" hidden="false" customHeight="false" outlineLevel="0" collapsed="false">
      <c r="A16" s="2" t="n">
        <v>1</v>
      </c>
      <c r="B16" s="2" t="inlineStr">
        <is>
          <t>Day 3</t>
        </is>
      </c>
      <c r="C16" s="2" t="inlineStr">
        <is>
          <t>Assistance: pull (rows or chin-ups)</t>
        </is>
      </c>
      <c r="D16" s="2" t="n">
        <v>3</v>
      </c>
      <c r="E16" s="2" t="inlineStr">
        <is>
          <t>10-15</t>
        </is>
      </c>
      <c r="F16" s="2" t="n">
        <v>8</v>
      </c>
      <c r="G16" s="2"/>
      <c r="H16" s="2"/>
      <c r="I16" s="2" t="inlineStr">
        <is>
          <t>60 sec</t>
        </is>
      </c>
      <c r="J16" s="2"/>
      <c r="K16" s="2" t="inlineStr">
        <is>
          <t>25-50 total reps</t>
        </is>
      </c>
    </row>
    <row r="17" customFormat="false" ht="15" hidden="false" customHeight="false" outlineLevel="0" collapsed="false">
      <c r="A17" s="2" t="n">
        <v>1</v>
      </c>
      <c r="B17" s="2" t="inlineStr">
        <is>
          <t>Day 4</t>
        </is>
      </c>
      <c r="C17" s="2" t="inlineStr">
        <is>
          <t>Squat (set 1)</t>
        </is>
      </c>
      <c r="D17" s="2" t="n">
        <v>1</v>
      </c>
      <c r="E17" s="2" t="n">
        <v>5</v>
      </c>
      <c r="F17" s="2"/>
      <c r="G17" s="2" t="inlineStr">
        <is>
          <t>58.5%</t>
        </is>
      </c>
      <c r="H17" s="2" t="n">
        <f aca="false">ROUND(Maxes!$B$2*0.585/5,0)*5</f>
        <v>185</v>
      </c>
      <c r="I17" s="2" t="inlineStr">
        <is>
          <t>2 min</t>
        </is>
      </c>
      <c r="J17" s="2"/>
      <c r="K17" s="2" t="inlineStr">
        <is>
          <t>Training max = 90% of 1RM. This week: 65% x5, 75% x5, 85% x5+.</t>
        </is>
      </c>
    </row>
    <row r="18" customFormat="false" ht="15" hidden="false" customHeight="false" outlineLevel="0" collapsed="false">
      <c r="A18" s="2" t="n">
        <v>1</v>
      </c>
      <c r="B18" s="2" t="inlineStr">
        <is>
          <t>Day 4</t>
        </is>
      </c>
      <c r="C18" s="2" t="inlineStr">
        <is>
          <t>Squat (set 2)</t>
        </is>
      </c>
      <c r="D18" s="2" t="n">
        <v>1</v>
      </c>
      <c r="E18" s="2" t="n">
        <v>5</v>
      </c>
      <c r="F18" s="2"/>
      <c r="G18" s="2" t="inlineStr">
        <is>
          <t>67.5%</t>
        </is>
      </c>
      <c r="H18" s="2" t="n">
        <f aca="false">ROUND(Maxes!$B$2*0.675/5,0)*5</f>
        <v>215</v>
      </c>
      <c r="I18" s="2" t="inlineStr">
        <is>
          <t>3 min</t>
        </is>
      </c>
      <c r="J18" s="2"/>
      <c r="K18" s="2"/>
    </row>
    <row r="19" customFormat="false" ht="15" hidden="false" customHeight="false" outlineLevel="0" collapsed="false">
      <c r="A19" s="2" t="n">
        <v>1</v>
      </c>
      <c r="B19" s="2" t="inlineStr">
        <is>
          <t>Day 4</t>
        </is>
      </c>
      <c r="C19" s="2" t="inlineStr">
        <is>
          <t>Squat</t>
        </is>
      </c>
      <c r="D19" s="2" t="n">
        <v>1</v>
      </c>
      <c r="E19" s="2" t="n">
        <v>5</v>
      </c>
      <c r="F19" s="2"/>
      <c r="G19" s="2" t="inlineStr">
        <is>
          <t>76.5%</t>
        </is>
      </c>
      <c r="H19" s="2"/>
      <c r="I19" s="2" t="inlineStr">
        <is>
          <t>4 min</t>
        </is>
      </c>
      <c r="J19" s="2" t="inlineStr">
        <is>
          <t>AMRAP</t>
        </is>
      </c>
      <c r="K19" s="2" t="inlineStr">
        <is>
          <t>Top set: as many good reps as you can (at least 5). Log them.</t>
        </is>
      </c>
    </row>
    <row r="20" customFormat="false" ht="15" hidden="false" customHeight="false" outlineLevel="0" collapsed="false">
      <c r="A20" s="2" t="n">
        <v>1</v>
      </c>
      <c r="B20" s="2" t="inlineStr">
        <is>
          <t>Day 4</t>
        </is>
      </c>
      <c r="C20" s="2" t="inlineStr">
        <is>
          <t>Squat (BBB 5x10)</t>
        </is>
      </c>
      <c r="D20" s="2" t="n">
        <v>5</v>
      </c>
      <c r="E20" s="2" t="n">
        <v>10</v>
      </c>
      <c r="F20" s="2"/>
      <c r="G20" s="2" t="inlineStr">
        <is>
          <t>45%</t>
        </is>
      </c>
      <c r="H20" s="2" t="n">
        <f aca="false">ROUND(Maxes!$B$2*0.45/5,0)*5</f>
        <v>140</v>
      </c>
      <c r="I20" s="2" t="inlineStr">
        <is>
          <t>90 sec</t>
        </is>
      </c>
      <c r="J20" s="2"/>
      <c r="K20" s="2" t="inlineStr">
        <is>
          <t>Boring But Big: 50% of training max. Raise toward 60% over cycles.</t>
        </is>
      </c>
    </row>
    <row r="21" customFormat="false" ht="15" hidden="false" customHeight="false" outlineLevel="0" collapsed="false">
      <c r="A21" s="2" t="n">
        <v>1</v>
      </c>
      <c r="B21" s="2" t="inlineStr">
        <is>
          <t>Day 4</t>
        </is>
      </c>
      <c r="C21" s="2" t="inlineStr">
        <is>
          <t>Assistance: pull (rows or chin-ups)</t>
        </is>
      </c>
      <c r="D21" s="2" t="n">
        <v>3</v>
      </c>
      <c r="E21" s="2" t="inlineStr">
        <is>
          <t>10-15</t>
        </is>
      </c>
      <c r="F21" s="2" t="n">
        <v>8</v>
      </c>
      <c r="G21" s="2"/>
      <c r="H21" s="2"/>
      <c r="I21" s="2" t="inlineStr">
        <is>
          <t>60 sec</t>
        </is>
      </c>
      <c r="J21" s="2"/>
      <c r="K21" s="2" t="inlineStr">
        <is>
          <t>25-50 total reps</t>
        </is>
      </c>
    </row>
    <row r="22" customFormat="false" ht="15" hidden="false" customHeight="false" outlineLevel="0" collapsed="false">
      <c r="A22" s="2" t="n">
        <v>2</v>
      </c>
      <c r="B22" s="2" t="inlineStr">
        <is>
          <t>Day 1</t>
        </is>
      </c>
      <c r="C22" s="2" t="inlineStr">
        <is>
          <t>Overhead press (set 1)</t>
        </is>
      </c>
      <c r="D22" s="2" t="n">
        <v>1</v>
      </c>
      <c r="E22" s="2" t="n">
        <v>3</v>
      </c>
      <c r="F22" s="2"/>
      <c r="G22" s="2" t="inlineStr">
        <is>
          <t>63%</t>
        </is>
      </c>
      <c r="H22" s="2" t="n">
        <f aca="false">ROUND(Maxes!$B$5*0.63/5,0)*5</f>
        <v>90</v>
      </c>
      <c r="I22" s="2" t="inlineStr">
        <is>
          <t>2 min</t>
        </is>
      </c>
      <c r="J22" s="2"/>
      <c r="K22" s="2" t="inlineStr">
        <is>
          <t>Training max = 90% of 1RM. This week: 70% x3, 80% x3, 90% x3+.</t>
        </is>
      </c>
    </row>
    <row r="23" customFormat="false" ht="15" hidden="false" customHeight="false" outlineLevel="0" collapsed="false">
      <c r="A23" s="2" t="n">
        <v>2</v>
      </c>
      <c r="B23" s="2" t="inlineStr">
        <is>
          <t>Day 1</t>
        </is>
      </c>
      <c r="C23" s="2" t="inlineStr">
        <is>
          <t>Overhead press (set 2)</t>
        </is>
      </c>
      <c r="D23" s="2" t="n">
        <v>1</v>
      </c>
      <c r="E23" s="2" t="n">
        <v>3</v>
      </c>
      <c r="F23" s="2"/>
      <c r="G23" s="2" t="inlineStr">
        <is>
          <t>72%</t>
        </is>
      </c>
      <c r="H23" s="2" t="n">
        <f aca="false">ROUND(Maxes!$B$5*0.72/5,0)*5</f>
        <v>105</v>
      </c>
      <c r="I23" s="2" t="inlineStr">
        <is>
          <t>3 min</t>
        </is>
      </c>
      <c r="J23" s="2"/>
      <c r="K23" s="2"/>
    </row>
    <row r="24" customFormat="false" ht="15" hidden="false" customHeight="false" outlineLevel="0" collapsed="false">
      <c r="A24" s="2" t="n">
        <v>2</v>
      </c>
      <c r="B24" s="2" t="inlineStr">
        <is>
          <t>Day 1</t>
        </is>
      </c>
      <c r="C24" s="2" t="inlineStr">
        <is>
          <t>Overhead press</t>
        </is>
      </c>
      <c r="D24" s="2" t="n">
        <v>1</v>
      </c>
      <c r="E24" s="2" t="n">
        <v>3</v>
      </c>
      <c r="F24" s="2"/>
      <c r="G24" s="2" t="inlineStr">
        <is>
          <t>81%</t>
        </is>
      </c>
      <c r="H24" s="2"/>
      <c r="I24" s="2" t="inlineStr">
        <is>
          <t>4 min</t>
        </is>
      </c>
      <c r="J24" s="2" t="inlineStr">
        <is>
          <t>AMRAP</t>
        </is>
      </c>
      <c r="K24" s="2" t="inlineStr">
        <is>
          <t>Top set: as many good reps as you can (at least 3). Log them.</t>
        </is>
      </c>
    </row>
    <row r="25" customFormat="false" ht="15" hidden="false" customHeight="false" outlineLevel="0" collapsed="false">
      <c r="A25" s="2" t="n">
        <v>2</v>
      </c>
      <c r="B25" s="2" t="inlineStr">
        <is>
          <t>Day 1</t>
        </is>
      </c>
      <c r="C25" s="2" t="inlineStr">
        <is>
          <t>Overhead press (BBB 5x10)</t>
        </is>
      </c>
      <c r="D25" s="2" t="n">
        <v>5</v>
      </c>
      <c r="E25" s="2" t="n">
        <v>10</v>
      </c>
      <c r="F25" s="2"/>
      <c r="G25" s="2" t="inlineStr">
        <is>
          <t>45%</t>
        </is>
      </c>
      <c r="H25" s="2" t="n">
        <f aca="false">ROUND(Maxes!$B$5*0.45/5,0)*5</f>
        <v>65</v>
      </c>
      <c r="I25" s="2" t="inlineStr">
        <is>
          <t>90 sec</t>
        </is>
      </c>
      <c r="J25" s="2"/>
      <c r="K25" s="2" t="inlineStr">
        <is>
          <t>Boring But Big: 50% of training max. Raise toward 60% over cycles.</t>
        </is>
      </c>
    </row>
    <row r="26" customFormat="false" ht="15" hidden="false" customHeight="false" outlineLevel="0" collapsed="false">
      <c r="A26" s="2" t="n">
        <v>2</v>
      </c>
      <c r="B26" s="2" t="inlineStr">
        <is>
          <t>Day 1</t>
        </is>
      </c>
      <c r="C26" s="2" t="inlineStr">
        <is>
          <t>Assistance: pull (rows or chin-ups)</t>
        </is>
      </c>
      <c r="D26" s="2" t="n">
        <v>3</v>
      </c>
      <c r="E26" s="2" t="inlineStr">
        <is>
          <t>10-15</t>
        </is>
      </c>
      <c r="F26" s="2" t="n">
        <v>8</v>
      </c>
      <c r="G26" s="2"/>
      <c r="H26" s="2"/>
      <c r="I26" s="2" t="inlineStr">
        <is>
          <t>60 sec</t>
        </is>
      </c>
      <c r="J26" s="2"/>
      <c r="K26" s="2" t="inlineStr">
        <is>
          <t>25-50 total reps</t>
        </is>
      </c>
    </row>
    <row r="27" customFormat="false" ht="15" hidden="false" customHeight="false" outlineLevel="0" collapsed="false">
      <c r="A27" s="2" t="n">
        <v>2</v>
      </c>
      <c r="B27" s="2" t="inlineStr">
        <is>
          <t>Day 2</t>
        </is>
      </c>
      <c r="C27" s="2" t="inlineStr">
        <is>
          <t>Deadlift (set 1)</t>
        </is>
      </c>
      <c r="D27" s="2" t="n">
        <v>1</v>
      </c>
      <c r="E27" s="2" t="n">
        <v>3</v>
      </c>
      <c r="F27" s="2"/>
      <c r="G27" s="2" t="inlineStr">
        <is>
          <t>63%</t>
        </is>
      </c>
      <c r="H27" s="2" t="n">
        <f aca="false">ROUND(Maxes!$B$4*0.63/5,0)*5</f>
        <v>255</v>
      </c>
      <c r="I27" s="2" t="inlineStr">
        <is>
          <t>2 min</t>
        </is>
      </c>
      <c r="J27" s="2"/>
      <c r="K27" s="2" t="inlineStr">
        <is>
          <t>Training max = 90% of 1RM. This week: 70% x3, 80% x3, 90% x3+.</t>
        </is>
      </c>
    </row>
    <row r="28" customFormat="false" ht="15" hidden="false" customHeight="false" outlineLevel="0" collapsed="false">
      <c r="A28" s="2" t="n">
        <v>2</v>
      </c>
      <c r="B28" s="2" t="inlineStr">
        <is>
          <t>Day 2</t>
        </is>
      </c>
      <c r="C28" s="2" t="inlineStr">
        <is>
          <t>Deadlift (set 2)</t>
        </is>
      </c>
      <c r="D28" s="2" t="n">
        <v>1</v>
      </c>
      <c r="E28" s="2" t="n">
        <v>3</v>
      </c>
      <c r="F28" s="2"/>
      <c r="G28" s="2" t="inlineStr">
        <is>
          <t>72%</t>
        </is>
      </c>
      <c r="H28" s="2" t="n">
        <f aca="false">ROUND(Maxes!$B$4*0.72/5,0)*5</f>
        <v>290</v>
      </c>
      <c r="I28" s="2" t="inlineStr">
        <is>
          <t>3 min</t>
        </is>
      </c>
      <c r="J28" s="2"/>
      <c r="K28" s="2"/>
    </row>
    <row r="29" customFormat="false" ht="15" hidden="false" customHeight="false" outlineLevel="0" collapsed="false">
      <c r="A29" s="2" t="n">
        <v>2</v>
      </c>
      <c r="B29" s="2" t="inlineStr">
        <is>
          <t>Day 2</t>
        </is>
      </c>
      <c r="C29" s="2" t="inlineStr">
        <is>
          <t>Deadlift</t>
        </is>
      </c>
      <c r="D29" s="2" t="n">
        <v>1</v>
      </c>
      <c r="E29" s="2" t="n">
        <v>3</v>
      </c>
      <c r="F29" s="2"/>
      <c r="G29" s="2" t="inlineStr">
        <is>
          <t>81%</t>
        </is>
      </c>
      <c r="H29" s="2"/>
      <c r="I29" s="2" t="inlineStr">
        <is>
          <t>4 min</t>
        </is>
      </c>
      <c r="J29" s="2" t="inlineStr">
        <is>
          <t>AMRAP</t>
        </is>
      </c>
      <c r="K29" s="2" t="inlineStr">
        <is>
          <t>Top set: as many good reps as you can (at least 3). Log them.</t>
        </is>
      </c>
    </row>
    <row r="30" customFormat="false" ht="15" hidden="false" customHeight="false" outlineLevel="0" collapsed="false">
      <c r="A30" s="2" t="n">
        <v>2</v>
      </c>
      <c r="B30" s="2" t="inlineStr">
        <is>
          <t>Day 2</t>
        </is>
      </c>
      <c r="C30" s="2" t="inlineStr">
        <is>
          <t>Deadlift (BBB 5x10)</t>
        </is>
      </c>
      <c r="D30" s="2" t="n">
        <v>5</v>
      </c>
      <c r="E30" s="2" t="n">
        <v>10</v>
      </c>
      <c r="F30" s="2"/>
      <c r="G30" s="2" t="inlineStr">
        <is>
          <t>45%</t>
        </is>
      </c>
      <c r="H30" s="2" t="n">
        <f aca="false">ROUND(Maxes!$B$4*0.45/5,0)*5</f>
        <v>180</v>
      </c>
      <c r="I30" s="2" t="inlineStr">
        <is>
          <t>90 sec</t>
        </is>
      </c>
      <c r="J30" s="2"/>
      <c r="K30" s="2" t="inlineStr">
        <is>
          <t>Boring But Big: 50% of training max. Raise toward 60% over cycles.</t>
        </is>
      </c>
    </row>
    <row r="31" customFormat="false" ht="15" hidden="false" customHeight="false" outlineLevel="0" collapsed="false">
      <c r="A31" s="2" t="n">
        <v>2</v>
      </c>
      <c r="B31" s="2" t="inlineStr">
        <is>
          <t>Day 2</t>
        </is>
      </c>
      <c r="C31" s="2" t="inlineStr">
        <is>
          <t>Assistance: pull (rows or chin-ups)</t>
        </is>
      </c>
      <c r="D31" s="2" t="n">
        <v>3</v>
      </c>
      <c r="E31" s="2" t="inlineStr">
        <is>
          <t>10-15</t>
        </is>
      </c>
      <c r="F31" s="2" t="n">
        <v>8</v>
      </c>
      <c r="G31" s="2"/>
      <c r="H31" s="2"/>
      <c r="I31" s="2" t="inlineStr">
        <is>
          <t>60 sec</t>
        </is>
      </c>
      <c r="J31" s="2"/>
      <c r="K31" s="2" t="inlineStr">
        <is>
          <t>25-50 total reps</t>
        </is>
      </c>
    </row>
    <row r="32" customFormat="false" ht="15" hidden="false" customHeight="false" outlineLevel="0" collapsed="false">
      <c r="A32" s="2" t="n">
        <v>2</v>
      </c>
      <c r="B32" s="2" t="inlineStr">
        <is>
          <t>Day 3</t>
        </is>
      </c>
      <c r="C32" s="2" t="inlineStr">
        <is>
          <t>Bench press (set 1)</t>
        </is>
      </c>
      <c r="D32" s="2" t="n">
        <v>1</v>
      </c>
      <c r="E32" s="2" t="n">
        <v>3</v>
      </c>
      <c r="F32" s="2"/>
      <c r="G32" s="2" t="inlineStr">
        <is>
          <t>63%</t>
        </is>
      </c>
      <c r="H32" s="2" t="n">
        <f aca="false">ROUND(Maxes!$B$3*0.63/5,0)*5</f>
        <v>140</v>
      </c>
      <c r="I32" s="2" t="inlineStr">
        <is>
          <t>2 min</t>
        </is>
      </c>
      <c r="J32" s="2"/>
      <c r="K32" s="2" t="inlineStr">
        <is>
          <t>Training max = 90% of 1RM. This week: 70% x3, 80% x3, 90% x3+.</t>
        </is>
      </c>
    </row>
    <row r="33" customFormat="false" ht="15" hidden="false" customHeight="false" outlineLevel="0" collapsed="false">
      <c r="A33" s="2" t="n">
        <v>2</v>
      </c>
      <c r="B33" s="2" t="inlineStr">
        <is>
          <t>Day 3</t>
        </is>
      </c>
      <c r="C33" s="2" t="inlineStr">
        <is>
          <t>Bench press (set 2)</t>
        </is>
      </c>
      <c r="D33" s="2" t="n">
        <v>1</v>
      </c>
      <c r="E33" s="2" t="n">
        <v>3</v>
      </c>
      <c r="F33" s="2"/>
      <c r="G33" s="2" t="inlineStr">
        <is>
          <t>72%</t>
        </is>
      </c>
      <c r="H33" s="2" t="n">
        <f aca="false">ROUND(Maxes!$B$3*0.72/5,0)*5</f>
        <v>160</v>
      </c>
      <c r="I33" s="2" t="inlineStr">
        <is>
          <t>3 min</t>
        </is>
      </c>
      <c r="J33" s="2"/>
      <c r="K33" s="2"/>
    </row>
    <row r="34" customFormat="false" ht="15" hidden="false" customHeight="false" outlineLevel="0" collapsed="false">
      <c r="A34" s="2" t="n">
        <v>2</v>
      </c>
      <c r="B34" s="2" t="inlineStr">
        <is>
          <t>Day 3</t>
        </is>
      </c>
      <c r="C34" s="2" t="inlineStr">
        <is>
          <t>Bench press</t>
        </is>
      </c>
      <c r="D34" s="2" t="n">
        <v>1</v>
      </c>
      <c r="E34" s="2" t="n">
        <v>3</v>
      </c>
      <c r="F34" s="2"/>
      <c r="G34" s="2" t="inlineStr">
        <is>
          <t>81%</t>
        </is>
      </c>
      <c r="H34" s="2"/>
      <c r="I34" s="2" t="inlineStr">
        <is>
          <t>4 min</t>
        </is>
      </c>
      <c r="J34" s="2" t="inlineStr">
        <is>
          <t>AMRAP</t>
        </is>
      </c>
      <c r="K34" s="2" t="inlineStr">
        <is>
          <t>Top set: as many good reps as you can (at least 3). Log them.</t>
        </is>
      </c>
    </row>
    <row r="35" customFormat="false" ht="15" hidden="false" customHeight="false" outlineLevel="0" collapsed="false">
      <c r="A35" s="2" t="n">
        <v>2</v>
      </c>
      <c r="B35" s="2" t="inlineStr">
        <is>
          <t>Day 3</t>
        </is>
      </c>
      <c r="C35" s="2" t="inlineStr">
        <is>
          <t>Bench press (BBB 5x10)</t>
        </is>
      </c>
      <c r="D35" s="2" t="n">
        <v>5</v>
      </c>
      <c r="E35" s="2" t="n">
        <v>10</v>
      </c>
      <c r="F35" s="2"/>
      <c r="G35" s="2" t="inlineStr">
        <is>
          <t>45%</t>
        </is>
      </c>
      <c r="H35" s="2" t="n">
        <f aca="false">ROUND(Maxes!$B$3*0.45/5,0)*5</f>
        <v>100</v>
      </c>
      <c r="I35" s="2" t="inlineStr">
        <is>
          <t>90 sec</t>
        </is>
      </c>
      <c r="J35" s="2"/>
      <c r="K35" s="2" t="inlineStr">
        <is>
          <t>Boring But Big: 50% of training max. Raise toward 60% over cycles.</t>
        </is>
      </c>
    </row>
    <row r="36" customFormat="false" ht="15" hidden="false" customHeight="false" outlineLevel="0" collapsed="false">
      <c r="A36" s="2" t="n">
        <v>2</v>
      </c>
      <c r="B36" s="2" t="inlineStr">
        <is>
          <t>Day 3</t>
        </is>
      </c>
      <c r="C36" s="2" t="inlineStr">
        <is>
          <t>Assistance: pull (rows or chin-ups)</t>
        </is>
      </c>
      <c r="D36" s="2" t="n">
        <v>3</v>
      </c>
      <c r="E36" s="2" t="inlineStr">
        <is>
          <t>10-15</t>
        </is>
      </c>
      <c r="F36" s="2" t="n">
        <v>8</v>
      </c>
      <c r="G36" s="2"/>
      <c r="H36" s="2"/>
      <c r="I36" s="2" t="inlineStr">
        <is>
          <t>60 sec</t>
        </is>
      </c>
      <c r="J36" s="2"/>
      <c r="K36" s="2" t="inlineStr">
        <is>
          <t>25-50 total reps</t>
        </is>
      </c>
    </row>
    <row r="37" customFormat="false" ht="15" hidden="false" customHeight="false" outlineLevel="0" collapsed="false">
      <c r="A37" s="2" t="n">
        <v>2</v>
      </c>
      <c r="B37" s="2" t="inlineStr">
        <is>
          <t>Day 4</t>
        </is>
      </c>
      <c r="C37" s="2" t="inlineStr">
        <is>
          <t>Squat (set 1)</t>
        </is>
      </c>
      <c r="D37" s="2" t="n">
        <v>1</v>
      </c>
      <c r="E37" s="2" t="n">
        <v>3</v>
      </c>
      <c r="F37" s="2"/>
      <c r="G37" s="2" t="inlineStr">
        <is>
          <t>63%</t>
        </is>
      </c>
      <c r="H37" s="2" t="n">
        <f aca="false">ROUND(Maxes!$B$2*0.63/5,0)*5</f>
        <v>200</v>
      </c>
      <c r="I37" s="2" t="inlineStr">
        <is>
          <t>2 min</t>
        </is>
      </c>
      <c r="J37" s="2"/>
      <c r="K37" s="2" t="inlineStr">
        <is>
          <t>Training max = 90% of 1RM. This week: 70% x3, 80% x3, 90% x3+.</t>
        </is>
      </c>
    </row>
    <row r="38" customFormat="false" ht="15" hidden="false" customHeight="false" outlineLevel="0" collapsed="false">
      <c r="A38" s="2" t="n">
        <v>2</v>
      </c>
      <c r="B38" s="2" t="inlineStr">
        <is>
          <t>Day 4</t>
        </is>
      </c>
      <c r="C38" s="2" t="inlineStr">
        <is>
          <t>Squat (set 2)</t>
        </is>
      </c>
      <c r="D38" s="2" t="n">
        <v>1</v>
      </c>
      <c r="E38" s="2" t="n">
        <v>3</v>
      </c>
      <c r="F38" s="2"/>
      <c r="G38" s="2" t="inlineStr">
        <is>
          <t>72%</t>
        </is>
      </c>
      <c r="H38" s="2" t="n">
        <f aca="false">ROUND(Maxes!$B$2*0.72/5,0)*5</f>
        <v>225</v>
      </c>
      <c r="I38" s="2" t="inlineStr">
        <is>
          <t>3 min</t>
        </is>
      </c>
      <c r="J38" s="2"/>
      <c r="K38" s="2"/>
    </row>
    <row r="39" customFormat="false" ht="15" hidden="false" customHeight="false" outlineLevel="0" collapsed="false">
      <c r="A39" s="2" t="n">
        <v>2</v>
      </c>
      <c r="B39" s="2" t="inlineStr">
        <is>
          <t>Day 4</t>
        </is>
      </c>
      <c r="C39" s="2" t="inlineStr">
        <is>
          <t>Squat</t>
        </is>
      </c>
      <c r="D39" s="2" t="n">
        <v>1</v>
      </c>
      <c r="E39" s="2" t="n">
        <v>3</v>
      </c>
      <c r="F39" s="2"/>
      <c r="G39" s="2" t="inlineStr">
        <is>
          <t>81%</t>
        </is>
      </c>
      <c r="H39" s="2"/>
      <c r="I39" s="2" t="inlineStr">
        <is>
          <t>4 min</t>
        </is>
      </c>
      <c r="J39" s="2" t="inlineStr">
        <is>
          <t>AMRAP</t>
        </is>
      </c>
      <c r="K39" s="2" t="inlineStr">
        <is>
          <t>Top set: as many good reps as you can (at least 3). Log them.</t>
        </is>
      </c>
    </row>
    <row r="40" customFormat="false" ht="15" hidden="false" customHeight="false" outlineLevel="0" collapsed="false">
      <c r="A40" s="2" t="n">
        <v>2</v>
      </c>
      <c r="B40" s="2" t="inlineStr">
        <is>
          <t>Day 4</t>
        </is>
      </c>
      <c r="C40" s="2" t="inlineStr">
        <is>
          <t>Squat (BBB 5x10)</t>
        </is>
      </c>
      <c r="D40" s="2" t="n">
        <v>5</v>
      </c>
      <c r="E40" s="2" t="n">
        <v>10</v>
      </c>
      <c r="F40" s="2"/>
      <c r="G40" s="2" t="inlineStr">
        <is>
          <t>45%</t>
        </is>
      </c>
      <c r="H40" s="2" t="n">
        <f aca="false">ROUND(Maxes!$B$2*0.45/5,0)*5</f>
        <v>140</v>
      </c>
      <c r="I40" s="2" t="inlineStr">
        <is>
          <t>90 sec</t>
        </is>
      </c>
      <c r="J40" s="2"/>
      <c r="K40" s="2" t="inlineStr">
        <is>
          <t>Boring But Big: 50% of training max. Raise toward 60% over cycles.</t>
        </is>
      </c>
    </row>
    <row r="41" customFormat="false" ht="15" hidden="false" customHeight="false" outlineLevel="0" collapsed="false">
      <c r="A41" s="2" t="n">
        <v>2</v>
      </c>
      <c r="B41" s="2" t="inlineStr">
        <is>
          <t>Day 4</t>
        </is>
      </c>
      <c r="C41" s="2" t="inlineStr">
        <is>
          <t>Assistance: pull (rows or chin-ups)</t>
        </is>
      </c>
      <c r="D41" s="2" t="n">
        <v>3</v>
      </c>
      <c r="E41" s="2" t="inlineStr">
        <is>
          <t>10-15</t>
        </is>
      </c>
      <c r="F41" s="2" t="n">
        <v>8</v>
      </c>
      <c r="G41" s="2"/>
      <c r="H41" s="2"/>
      <c r="I41" s="2" t="inlineStr">
        <is>
          <t>60 sec</t>
        </is>
      </c>
      <c r="J41" s="2"/>
      <c r="K41" s="2" t="inlineStr">
        <is>
          <t>25-50 total reps</t>
        </is>
      </c>
    </row>
    <row r="42" customFormat="false" ht="15" hidden="false" customHeight="false" outlineLevel="0" collapsed="false">
      <c r="A42" s="2" t="n">
        <v>3</v>
      </c>
      <c r="B42" s="2" t="inlineStr">
        <is>
          <t>Day 1</t>
        </is>
      </c>
      <c r="C42" s="2" t="inlineStr">
        <is>
          <t>Overhead press (set 1)</t>
        </is>
      </c>
      <c r="D42" s="2" t="n">
        <v>1</v>
      </c>
      <c r="E42" s="2" t="n">
        <v>5</v>
      </c>
      <c r="F42" s="2"/>
      <c r="G42" s="2" t="inlineStr">
        <is>
          <t>67.5%</t>
        </is>
      </c>
      <c r="H42" s="2" t="n">
        <f aca="false">ROUND(Maxes!$B$5*0.675/5,0)*5</f>
        <v>100</v>
      </c>
      <c r="I42" s="2" t="inlineStr">
        <is>
          <t>2 min</t>
        </is>
      </c>
      <c r="J42" s="2"/>
      <c r="K42" s="2" t="inlineStr">
        <is>
          <t>Training max = 90% of 1RM. This week: 75% x5, 85% x3, 95% x1+.</t>
        </is>
      </c>
    </row>
    <row r="43" customFormat="false" ht="15" hidden="false" customHeight="false" outlineLevel="0" collapsed="false">
      <c r="A43" s="2" t="n">
        <v>3</v>
      </c>
      <c r="B43" s="2" t="inlineStr">
        <is>
          <t>Day 1</t>
        </is>
      </c>
      <c r="C43" s="2" t="inlineStr">
        <is>
          <t>Overhead press (set 2)</t>
        </is>
      </c>
      <c r="D43" s="2" t="n">
        <v>1</v>
      </c>
      <c r="E43" s="2" t="n">
        <v>3</v>
      </c>
      <c r="F43" s="2"/>
      <c r="G43" s="2" t="inlineStr">
        <is>
          <t>76.5%</t>
        </is>
      </c>
      <c r="H43" s="2" t="n">
        <f aca="false">ROUND(Maxes!$B$5*0.765/5,0)*5</f>
        <v>110</v>
      </c>
      <c r="I43" s="2" t="inlineStr">
        <is>
          <t>3 min</t>
        </is>
      </c>
      <c r="J43" s="2"/>
      <c r="K43" s="2"/>
    </row>
    <row r="44" customFormat="false" ht="15" hidden="false" customHeight="false" outlineLevel="0" collapsed="false">
      <c r="A44" s="2" t="n">
        <v>3</v>
      </c>
      <c r="B44" s="2" t="inlineStr">
        <is>
          <t>Day 1</t>
        </is>
      </c>
      <c r="C44" s="2" t="inlineStr">
        <is>
          <t>Overhead press</t>
        </is>
      </c>
      <c r="D44" s="2" t="n">
        <v>1</v>
      </c>
      <c r="E44" s="2" t="n">
        <v>1</v>
      </c>
      <c r="F44" s="2"/>
      <c r="G44" s="2" t="inlineStr">
        <is>
          <t>85.5%</t>
        </is>
      </c>
      <c r="H44" s="2"/>
      <c r="I44" s="2" t="inlineStr">
        <is>
          <t>4 min</t>
        </is>
      </c>
      <c r="J44" s="2" t="inlineStr">
        <is>
          <t>AMRAP</t>
        </is>
      </c>
      <c r="K44" s="2" t="inlineStr">
        <is>
          <t>Top set: as many good reps as you can (at least 1). Log them.</t>
        </is>
      </c>
    </row>
    <row r="45" customFormat="false" ht="15" hidden="false" customHeight="false" outlineLevel="0" collapsed="false">
      <c r="A45" s="2" t="n">
        <v>3</v>
      </c>
      <c r="B45" s="2" t="inlineStr">
        <is>
          <t>Day 1</t>
        </is>
      </c>
      <c r="C45" s="2" t="inlineStr">
        <is>
          <t>Overhead press (BBB 5x10)</t>
        </is>
      </c>
      <c r="D45" s="2" t="n">
        <v>5</v>
      </c>
      <c r="E45" s="2" t="n">
        <v>10</v>
      </c>
      <c r="F45" s="2"/>
      <c r="G45" s="2" t="inlineStr">
        <is>
          <t>45%</t>
        </is>
      </c>
      <c r="H45" s="2" t="n">
        <f aca="false">ROUND(Maxes!$B$5*0.45/5,0)*5</f>
        <v>65</v>
      </c>
      <c r="I45" s="2" t="inlineStr">
        <is>
          <t>90 sec</t>
        </is>
      </c>
      <c r="J45" s="2"/>
      <c r="K45" s="2" t="inlineStr">
        <is>
          <t>Boring But Big: 50% of training max. Raise toward 60% over cycles.</t>
        </is>
      </c>
    </row>
    <row r="46" customFormat="false" ht="15" hidden="false" customHeight="false" outlineLevel="0" collapsed="false">
      <c r="A46" s="2" t="n">
        <v>3</v>
      </c>
      <c r="B46" s="2" t="inlineStr">
        <is>
          <t>Day 1</t>
        </is>
      </c>
      <c r="C46" s="2" t="inlineStr">
        <is>
          <t>Assistance: pull (rows or chin-ups)</t>
        </is>
      </c>
      <c r="D46" s="2" t="n">
        <v>3</v>
      </c>
      <c r="E46" s="2" t="inlineStr">
        <is>
          <t>10-15</t>
        </is>
      </c>
      <c r="F46" s="2" t="n">
        <v>8</v>
      </c>
      <c r="G46" s="2"/>
      <c r="H46" s="2"/>
      <c r="I46" s="2" t="inlineStr">
        <is>
          <t>60 sec</t>
        </is>
      </c>
      <c r="J46" s="2"/>
      <c r="K46" s="2" t="inlineStr">
        <is>
          <t>25-50 total reps</t>
        </is>
      </c>
    </row>
    <row r="47" customFormat="false" ht="15" hidden="false" customHeight="false" outlineLevel="0" collapsed="false">
      <c r="A47" s="2" t="n">
        <v>3</v>
      </c>
      <c r="B47" s="2" t="inlineStr">
        <is>
          <t>Day 2</t>
        </is>
      </c>
      <c r="C47" s="2" t="inlineStr">
        <is>
          <t>Deadlift (set 1)</t>
        </is>
      </c>
      <c r="D47" s="2" t="n">
        <v>1</v>
      </c>
      <c r="E47" s="2" t="n">
        <v>5</v>
      </c>
      <c r="F47" s="2"/>
      <c r="G47" s="2" t="inlineStr">
        <is>
          <t>67.5%</t>
        </is>
      </c>
      <c r="H47" s="2" t="n">
        <f aca="false">ROUND(Maxes!$B$4*0.675/5,0)*5</f>
        <v>275</v>
      </c>
      <c r="I47" s="2" t="inlineStr">
        <is>
          <t>2 min</t>
        </is>
      </c>
      <c r="J47" s="2"/>
      <c r="K47" s="2" t="inlineStr">
        <is>
          <t>Training max = 90% of 1RM. This week: 75% x5, 85% x3, 95% x1+.</t>
        </is>
      </c>
    </row>
    <row r="48" customFormat="false" ht="15" hidden="false" customHeight="false" outlineLevel="0" collapsed="false">
      <c r="A48" s="2" t="n">
        <v>3</v>
      </c>
      <c r="B48" s="2" t="inlineStr">
        <is>
          <t>Day 2</t>
        </is>
      </c>
      <c r="C48" s="2" t="inlineStr">
        <is>
          <t>Deadlift (set 2)</t>
        </is>
      </c>
      <c r="D48" s="2" t="n">
        <v>1</v>
      </c>
      <c r="E48" s="2" t="n">
        <v>3</v>
      </c>
      <c r="F48" s="2"/>
      <c r="G48" s="2" t="inlineStr">
        <is>
          <t>76.5%</t>
        </is>
      </c>
      <c r="H48" s="2" t="n">
        <f aca="false">ROUND(Maxes!$B$4*0.765/5,0)*5</f>
        <v>310</v>
      </c>
      <c r="I48" s="2" t="inlineStr">
        <is>
          <t>3 min</t>
        </is>
      </c>
      <c r="J48" s="2"/>
      <c r="K48" s="2"/>
    </row>
    <row r="49" customFormat="false" ht="15" hidden="false" customHeight="false" outlineLevel="0" collapsed="false">
      <c r="A49" s="2" t="n">
        <v>3</v>
      </c>
      <c r="B49" s="2" t="inlineStr">
        <is>
          <t>Day 2</t>
        </is>
      </c>
      <c r="C49" s="2" t="inlineStr">
        <is>
          <t>Deadlift</t>
        </is>
      </c>
      <c r="D49" s="2" t="n">
        <v>1</v>
      </c>
      <c r="E49" s="2" t="n">
        <v>1</v>
      </c>
      <c r="F49" s="2"/>
      <c r="G49" s="2" t="inlineStr">
        <is>
          <t>85.5%</t>
        </is>
      </c>
      <c r="H49" s="2"/>
      <c r="I49" s="2" t="inlineStr">
        <is>
          <t>4 min</t>
        </is>
      </c>
      <c r="J49" s="2" t="inlineStr">
        <is>
          <t>AMRAP</t>
        </is>
      </c>
      <c r="K49" s="2" t="inlineStr">
        <is>
          <t>Top set: as many good reps as you can (at least 1). Log them.</t>
        </is>
      </c>
    </row>
    <row r="50" customFormat="false" ht="15" hidden="false" customHeight="false" outlineLevel="0" collapsed="false">
      <c r="A50" s="2" t="n">
        <v>3</v>
      </c>
      <c r="B50" s="2" t="inlineStr">
        <is>
          <t>Day 2</t>
        </is>
      </c>
      <c r="C50" s="2" t="inlineStr">
        <is>
          <t>Deadlift (BBB 5x10)</t>
        </is>
      </c>
      <c r="D50" s="2" t="n">
        <v>5</v>
      </c>
      <c r="E50" s="2" t="n">
        <v>10</v>
      </c>
      <c r="F50" s="2"/>
      <c r="G50" s="2" t="inlineStr">
        <is>
          <t>45%</t>
        </is>
      </c>
      <c r="H50" s="2" t="n">
        <f aca="false">ROUND(Maxes!$B$4*0.45/5,0)*5</f>
        <v>180</v>
      </c>
      <c r="I50" s="2" t="inlineStr">
        <is>
          <t>90 sec</t>
        </is>
      </c>
      <c r="J50" s="2"/>
      <c r="K50" s="2" t="inlineStr">
        <is>
          <t>Boring But Big: 50% of training max. Raise toward 60% over cycles.</t>
        </is>
      </c>
    </row>
    <row r="51" customFormat="false" ht="15" hidden="false" customHeight="false" outlineLevel="0" collapsed="false">
      <c r="A51" s="2" t="n">
        <v>3</v>
      </c>
      <c r="B51" s="2" t="inlineStr">
        <is>
          <t>Day 2</t>
        </is>
      </c>
      <c r="C51" s="2" t="inlineStr">
        <is>
          <t>Assistance: pull (rows or chin-ups)</t>
        </is>
      </c>
      <c r="D51" s="2" t="n">
        <v>3</v>
      </c>
      <c r="E51" s="2" t="inlineStr">
        <is>
          <t>10-15</t>
        </is>
      </c>
      <c r="F51" s="2" t="n">
        <v>8</v>
      </c>
      <c r="G51" s="2"/>
      <c r="H51" s="2"/>
      <c r="I51" s="2" t="inlineStr">
        <is>
          <t>60 sec</t>
        </is>
      </c>
      <c r="J51" s="2"/>
      <c r="K51" s="2" t="inlineStr">
        <is>
          <t>25-50 total reps</t>
        </is>
      </c>
    </row>
    <row r="52" customFormat="false" ht="15" hidden="false" customHeight="false" outlineLevel="0" collapsed="false">
      <c r="A52" s="2" t="n">
        <v>3</v>
      </c>
      <c r="B52" s="2" t="inlineStr">
        <is>
          <t>Day 3</t>
        </is>
      </c>
      <c r="C52" s="2" t="inlineStr">
        <is>
          <t>Bench press (set 1)</t>
        </is>
      </c>
      <c r="D52" s="2" t="n">
        <v>1</v>
      </c>
      <c r="E52" s="2" t="n">
        <v>5</v>
      </c>
      <c r="F52" s="2"/>
      <c r="G52" s="2" t="inlineStr">
        <is>
          <t>67.5%</t>
        </is>
      </c>
      <c r="H52" s="2" t="n">
        <f aca="false">ROUND(Maxes!$B$3*0.675/5,0)*5</f>
        <v>150</v>
      </c>
      <c r="I52" s="2" t="inlineStr">
        <is>
          <t>2 min</t>
        </is>
      </c>
      <c r="J52" s="2"/>
      <c r="K52" s="2" t="inlineStr">
        <is>
          <t>Training max = 90% of 1RM. This week: 75% x5, 85% x3, 95% x1+.</t>
        </is>
      </c>
    </row>
    <row r="53" customFormat="false" ht="15" hidden="false" customHeight="false" outlineLevel="0" collapsed="false">
      <c r="A53" s="2" t="n">
        <v>3</v>
      </c>
      <c r="B53" s="2" t="inlineStr">
        <is>
          <t>Day 3</t>
        </is>
      </c>
      <c r="C53" s="2" t="inlineStr">
        <is>
          <t>Bench press (set 2)</t>
        </is>
      </c>
      <c r="D53" s="2" t="n">
        <v>1</v>
      </c>
      <c r="E53" s="2" t="n">
        <v>3</v>
      </c>
      <c r="F53" s="2"/>
      <c r="G53" s="2" t="inlineStr">
        <is>
          <t>76.5%</t>
        </is>
      </c>
      <c r="H53" s="2" t="n">
        <f aca="false">ROUND(Maxes!$B$3*0.765/5,0)*5</f>
        <v>170</v>
      </c>
      <c r="I53" s="2" t="inlineStr">
        <is>
          <t>3 min</t>
        </is>
      </c>
      <c r="J53" s="2"/>
      <c r="K53" s="2"/>
    </row>
    <row r="54" customFormat="false" ht="15" hidden="false" customHeight="false" outlineLevel="0" collapsed="false">
      <c r="A54" s="2" t="n">
        <v>3</v>
      </c>
      <c r="B54" s="2" t="inlineStr">
        <is>
          <t>Day 3</t>
        </is>
      </c>
      <c r="C54" s="2" t="inlineStr">
        <is>
          <t>Bench press</t>
        </is>
      </c>
      <c r="D54" s="2" t="n">
        <v>1</v>
      </c>
      <c r="E54" s="2" t="n">
        <v>1</v>
      </c>
      <c r="F54" s="2"/>
      <c r="G54" s="2" t="inlineStr">
        <is>
          <t>85.5%</t>
        </is>
      </c>
      <c r="H54" s="2"/>
      <c r="I54" s="2" t="inlineStr">
        <is>
          <t>4 min</t>
        </is>
      </c>
      <c r="J54" s="2" t="inlineStr">
        <is>
          <t>AMRAP</t>
        </is>
      </c>
      <c r="K54" s="2" t="inlineStr">
        <is>
          <t>Top set: as many good reps as you can (at least 1). Log them.</t>
        </is>
      </c>
    </row>
    <row r="55" customFormat="false" ht="15" hidden="false" customHeight="false" outlineLevel="0" collapsed="false">
      <c r="A55" s="2" t="n">
        <v>3</v>
      </c>
      <c r="B55" s="2" t="inlineStr">
        <is>
          <t>Day 3</t>
        </is>
      </c>
      <c r="C55" s="2" t="inlineStr">
        <is>
          <t>Bench press (BBB 5x10)</t>
        </is>
      </c>
      <c r="D55" s="2" t="n">
        <v>5</v>
      </c>
      <c r="E55" s="2" t="n">
        <v>10</v>
      </c>
      <c r="F55" s="2"/>
      <c r="G55" s="2" t="inlineStr">
        <is>
          <t>45%</t>
        </is>
      </c>
      <c r="H55" s="2" t="n">
        <f aca="false">ROUND(Maxes!$B$3*0.45/5,0)*5</f>
        <v>100</v>
      </c>
      <c r="I55" s="2" t="inlineStr">
        <is>
          <t>90 sec</t>
        </is>
      </c>
      <c r="J55" s="2"/>
      <c r="K55" s="2" t="inlineStr">
        <is>
          <t>Boring But Big: 50% of training max. Raise toward 60% over cycles.</t>
        </is>
      </c>
    </row>
    <row r="56" customFormat="false" ht="15" hidden="false" customHeight="false" outlineLevel="0" collapsed="false">
      <c r="A56" s="2" t="n">
        <v>3</v>
      </c>
      <c r="B56" s="2" t="inlineStr">
        <is>
          <t>Day 3</t>
        </is>
      </c>
      <c r="C56" s="2" t="inlineStr">
        <is>
          <t>Assistance: pull (rows or chin-ups)</t>
        </is>
      </c>
      <c r="D56" s="2" t="n">
        <v>3</v>
      </c>
      <c r="E56" s="2" t="inlineStr">
        <is>
          <t>10-15</t>
        </is>
      </c>
      <c r="F56" s="2" t="n">
        <v>8</v>
      </c>
      <c r="G56" s="2"/>
      <c r="H56" s="2"/>
      <c r="I56" s="2" t="inlineStr">
        <is>
          <t>60 sec</t>
        </is>
      </c>
      <c r="J56" s="2"/>
      <c r="K56" s="2" t="inlineStr">
        <is>
          <t>25-50 total reps</t>
        </is>
      </c>
    </row>
    <row r="57" customFormat="false" ht="15" hidden="false" customHeight="false" outlineLevel="0" collapsed="false">
      <c r="A57" s="2" t="n">
        <v>3</v>
      </c>
      <c r="B57" s="2" t="inlineStr">
        <is>
          <t>Day 4</t>
        </is>
      </c>
      <c r="C57" s="2" t="inlineStr">
        <is>
          <t>Squat (set 1)</t>
        </is>
      </c>
      <c r="D57" s="2" t="n">
        <v>1</v>
      </c>
      <c r="E57" s="2" t="n">
        <v>5</v>
      </c>
      <c r="F57" s="2"/>
      <c r="G57" s="2" t="inlineStr">
        <is>
          <t>67.5%</t>
        </is>
      </c>
      <c r="H57" s="2" t="n">
        <f aca="false">ROUND(Maxes!$B$2*0.675/5,0)*5</f>
        <v>215</v>
      </c>
      <c r="I57" s="2" t="inlineStr">
        <is>
          <t>2 min</t>
        </is>
      </c>
      <c r="J57" s="2"/>
      <c r="K57" s="2" t="inlineStr">
        <is>
          <t>Training max = 90% of 1RM. This week: 75% x5, 85% x3, 95% x1+.</t>
        </is>
      </c>
    </row>
    <row r="58" customFormat="false" ht="15" hidden="false" customHeight="false" outlineLevel="0" collapsed="false">
      <c r="A58" s="2" t="n">
        <v>3</v>
      </c>
      <c r="B58" s="2" t="inlineStr">
        <is>
          <t>Day 4</t>
        </is>
      </c>
      <c r="C58" s="2" t="inlineStr">
        <is>
          <t>Squat (set 2)</t>
        </is>
      </c>
      <c r="D58" s="2" t="n">
        <v>1</v>
      </c>
      <c r="E58" s="2" t="n">
        <v>3</v>
      </c>
      <c r="F58" s="2"/>
      <c r="G58" s="2" t="inlineStr">
        <is>
          <t>76.5%</t>
        </is>
      </c>
      <c r="H58" s="2" t="n">
        <f aca="false">ROUND(Maxes!$B$2*0.765/5,0)*5</f>
        <v>240</v>
      </c>
      <c r="I58" s="2" t="inlineStr">
        <is>
          <t>3 min</t>
        </is>
      </c>
      <c r="J58" s="2"/>
      <c r="K58" s="2"/>
    </row>
    <row r="59" customFormat="false" ht="15" hidden="false" customHeight="false" outlineLevel="0" collapsed="false">
      <c r="A59" s="2" t="n">
        <v>3</v>
      </c>
      <c r="B59" s="2" t="inlineStr">
        <is>
          <t>Day 4</t>
        </is>
      </c>
      <c r="C59" s="2" t="inlineStr">
        <is>
          <t>Squat</t>
        </is>
      </c>
      <c r="D59" s="2" t="n">
        <v>1</v>
      </c>
      <c r="E59" s="2" t="n">
        <v>1</v>
      </c>
      <c r="F59" s="2"/>
      <c r="G59" s="2" t="inlineStr">
        <is>
          <t>85.5%</t>
        </is>
      </c>
      <c r="H59" s="2"/>
      <c r="I59" s="2" t="inlineStr">
        <is>
          <t>4 min</t>
        </is>
      </c>
      <c r="J59" s="2" t="inlineStr">
        <is>
          <t>AMRAP</t>
        </is>
      </c>
      <c r="K59" s="2" t="inlineStr">
        <is>
          <t>Top set: as many good reps as you can (at least 1). Log them.</t>
        </is>
      </c>
    </row>
    <row r="60" customFormat="false" ht="15" hidden="false" customHeight="false" outlineLevel="0" collapsed="false">
      <c r="A60" s="2" t="n">
        <v>3</v>
      </c>
      <c r="B60" s="2" t="inlineStr">
        <is>
          <t>Day 4</t>
        </is>
      </c>
      <c r="C60" s="2" t="inlineStr">
        <is>
          <t>Squat (BBB 5x10)</t>
        </is>
      </c>
      <c r="D60" s="2" t="n">
        <v>5</v>
      </c>
      <c r="E60" s="2" t="n">
        <v>10</v>
      </c>
      <c r="F60" s="2"/>
      <c r="G60" s="2" t="inlineStr">
        <is>
          <t>45%</t>
        </is>
      </c>
      <c r="H60" s="2" t="n">
        <f aca="false">ROUND(Maxes!$B$2*0.45/5,0)*5</f>
        <v>140</v>
      </c>
      <c r="I60" s="2" t="inlineStr">
        <is>
          <t>90 sec</t>
        </is>
      </c>
      <c r="J60" s="2"/>
      <c r="K60" s="2" t="inlineStr">
        <is>
          <t>Boring But Big: 50% of training max. Raise toward 60% over cycles.</t>
        </is>
      </c>
    </row>
    <row r="61" customFormat="false" ht="15" hidden="false" customHeight="false" outlineLevel="0" collapsed="false">
      <c r="A61" s="2" t="n">
        <v>3</v>
      </c>
      <c r="B61" s="2" t="inlineStr">
        <is>
          <t>Day 4</t>
        </is>
      </c>
      <c r="C61" s="2" t="inlineStr">
        <is>
          <t>Assistance: pull (rows or chin-ups)</t>
        </is>
      </c>
      <c r="D61" s="2" t="n">
        <v>3</v>
      </c>
      <c r="E61" s="2" t="inlineStr">
        <is>
          <t>10-15</t>
        </is>
      </c>
      <c r="F61" s="2" t="n">
        <v>8</v>
      </c>
      <c r="G61" s="2"/>
      <c r="H61" s="2"/>
      <c r="I61" s="2" t="inlineStr">
        <is>
          <t>60 sec</t>
        </is>
      </c>
      <c r="J61" s="2"/>
      <c r="K61" s="2" t="inlineStr">
        <is>
          <t>25-50 total reps</t>
        </is>
      </c>
    </row>
    <row r="62" customFormat="false" ht="15" hidden="false" customHeight="false" outlineLevel="0" collapsed="false">
      <c r="A62" s="2" t="n">
        <v>4</v>
      </c>
      <c r="B62" s="2" t="inlineStr">
        <is>
          <t>Day 1</t>
        </is>
      </c>
      <c r="C62" s="2" t="inlineStr">
        <is>
          <t>Overhead press (set 1)</t>
        </is>
      </c>
      <c r="D62" s="2" t="n">
        <v>1</v>
      </c>
      <c r="E62" s="2" t="n">
        <v>5</v>
      </c>
      <c r="F62" s="2"/>
      <c r="G62" s="2" t="inlineStr">
        <is>
          <t>36%</t>
        </is>
      </c>
      <c r="H62" s="2" t="n">
        <f aca="false">ROUND(Maxes!$B$5*0.36/5,0)*5</f>
        <v>50</v>
      </c>
      <c r="I62" s="2" t="inlineStr">
        <is>
          <t>2 min</t>
        </is>
      </c>
      <c r="J62" s="2"/>
      <c r="K62" s="2" t="inlineStr">
        <is>
          <t>Training max = 90% of 1RM. This week: Deload: 40% x5, 50% x5, 60% x5.</t>
        </is>
      </c>
    </row>
    <row r="63" customFormat="false" ht="15" hidden="false" customHeight="false" outlineLevel="0" collapsed="false">
      <c r="A63" s="2" t="n">
        <v>4</v>
      </c>
      <c r="B63" s="2" t="inlineStr">
        <is>
          <t>Day 1</t>
        </is>
      </c>
      <c r="C63" s="2" t="inlineStr">
        <is>
          <t>Overhead press (set 2)</t>
        </is>
      </c>
      <c r="D63" s="2" t="n">
        <v>1</v>
      </c>
      <c r="E63" s="2" t="n">
        <v>5</v>
      </c>
      <c r="F63" s="2"/>
      <c r="G63" s="2" t="inlineStr">
        <is>
          <t>45%</t>
        </is>
      </c>
      <c r="H63" s="2" t="n">
        <f aca="false">ROUND(Maxes!$B$5*0.45/5,0)*5</f>
        <v>65</v>
      </c>
      <c r="I63" s="2" t="inlineStr">
        <is>
          <t>3 min</t>
        </is>
      </c>
      <c r="J63" s="2"/>
      <c r="K63" s="2"/>
    </row>
    <row r="64" customFormat="false" ht="15" hidden="false" customHeight="false" outlineLevel="0" collapsed="false">
      <c r="A64" s="2" t="n">
        <v>4</v>
      </c>
      <c r="B64" s="2" t="inlineStr">
        <is>
          <t>Day 1</t>
        </is>
      </c>
      <c r="C64" s="2" t="inlineStr">
        <is>
          <t>Overhead press</t>
        </is>
      </c>
      <c r="D64" s="2" t="n">
        <v>1</v>
      </c>
      <c r="E64" s="2" t="n">
        <v>5</v>
      </c>
      <c r="F64" s="2"/>
      <c r="G64" s="2" t="inlineStr">
        <is>
          <t>54%</t>
        </is>
      </c>
      <c r="H64" s="2"/>
      <c r="I64" s="2" t="inlineStr">
        <is>
          <t>4 min</t>
        </is>
      </c>
      <c r="J64" s="2"/>
      <c r="K64" s="2" t="inlineStr">
        <is>
          <t>Deload: just 5 reps, no extra.</t>
        </is>
      </c>
    </row>
    <row r="65" customFormat="false" ht="15" hidden="false" customHeight="false" outlineLevel="0" collapsed="false">
      <c r="A65" s="2" t="n">
        <v>4</v>
      </c>
      <c r="B65" s="2" t="inlineStr">
        <is>
          <t>Day 1</t>
        </is>
      </c>
      <c r="C65" s="2" t="inlineStr">
        <is>
          <t>Assistance: pull (rows or chin-ups)</t>
        </is>
      </c>
      <c r="D65" s="2" t="n">
        <v>3</v>
      </c>
      <c r="E65" s="2" t="inlineStr">
        <is>
          <t>10-15</t>
        </is>
      </c>
      <c r="F65" s="2" t="n">
        <v>8</v>
      </c>
      <c r="G65" s="2"/>
      <c r="H65" s="2"/>
      <c r="I65" s="2" t="inlineStr">
        <is>
          <t>60 sec</t>
        </is>
      </c>
      <c r="J65" s="2"/>
      <c r="K65" s="2" t="inlineStr">
        <is>
          <t>25-50 total reps</t>
        </is>
      </c>
    </row>
    <row r="66" customFormat="false" ht="15" hidden="false" customHeight="false" outlineLevel="0" collapsed="false">
      <c r="A66" s="2" t="n">
        <v>4</v>
      </c>
      <c r="B66" s="2" t="inlineStr">
        <is>
          <t>Day 2</t>
        </is>
      </c>
      <c r="C66" s="2" t="inlineStr">
        <is>
          <t>Deadlift (set 1)</t>
        </is>
      </c>
      <c r="D66" s="2" t="n">
        <v>1</v>
      </c>
      <c r="E66" s="2" t="n">
        <v>5</v>
      </c>
      <c r="F66" s="2"/>
      <c r="G66" s="2" t="inlineStr">
        <is>
          <t>36%</t>
        </is>
      </c>
      <c r="H66" s="2" t="n">
        <f aca="false">ROUND(Maxes!$B$4*0.36/5,0)*5</f>
        <v>145</v>
      </c>
      <c r="I66" s="2" t="inlineStr">
        <is>
          <t>2 min</t>
        </is>
      </c>
      <c r="J66" s="2"/>
      <c r="K66" s="2" t="inlineStr">
        <is>
          <t>Training max = 90% of 1RM. This week: Deload: 40% x5, 50% x5, 60% x5.</t>
        </is>
      </c>
    </row>
    <row r="67" customFormat="false" ht="15" hidden="false" customHeight="false" outlineLevel="0" collapsed="false">
      <c r="A67" s="2" t="n">
        <v>4</v>
      </c>
      <c r="B67" s="2" t="inlineStr">
        <is>
          <t>Day 2</t>
        </is>
      </c>
      <c r="C67" s="2" t="inlineStr">
        <is>
          <t>Deadlift (set 2)</t>
        </is>
      </c>
      <c r="D67" s="2" t="n">
        <v>1</v>
      </c>
      <c r="E67" s="2" t="n">
        <v>5</v>
      </c>
      <c r="F67" s="2"/>
      <c r="G67" s="2" t="inlineStr">
        <is>
          <t>45%</t>
        </is>
      </c>
      <c r="H67" s="2" t="n">
        <f aca="false">ROUND(Maxes!$B$4*0.45/5,0)*5</f>
        <v>180</v>
      </c>
      <c r="I67" s="2" t="inlineStr">
        <is>
          <t>3 min</t>
        </is>
      </c>
      <c r="J67" s="2"/>
      <c r="K67" s="2"/>
    </row>
    <row r="68" customFormat="false" ht="15" hidden="false" customHeight="false" outlineLevel="0" collapsed="false">
      <c r="A68" s="2" t="n">
        <v>4</v>
      </c>
      <c r="B68" s="2" t="inlineStr">
        <is>
          <t>Day 2</t>
        </is>
      </c>
      <c r="C68" s="2" t="inlineStr">
        <is>
          <t>Deadlift</t>
        </is>
      </c>
      <c r="D68" s="2" t="n">
        <v>1</v>
      </c>
      <c r="E68" s="2" t="n">
        <v>5</v>
      </c>
      <c r="F68" s="2"/>
      <c r="G68" s="2" t="inlineStr">
        <is>
          <t>54%</t>
        </is>
      </c>
      <c r="H68" s="2"/>
      <c r="I68" s="2" t="inlineStr">
        <is>
          <t>4 min</t>
        </is>
      </c>
      <c r="J68" s="2"/>
      <c r="K68" s="2" t="inlineStr">
        <is>
          <t>Deload: just 5 reps, no extra.</t>
        </is>
      </c>
    </row>
    <row r="69" customFormat="false" ht="15" hidden="false" customHeight="false" outlineLevel="0" collapsed="false">
      <c r="A69" s="2" t="n">
        <v>4</v>
      </c>
      <c r="B69" s="2" t="inlineStr">
        <is>
          <t>Day 2</t>
        </is>
      </c>
      <c r="C69" s="2" t="inlineStr">
        <is>
          <t>Assistance: pull (rows or chin-ups)</t>
        </is>
      </c>
      <c r="D69" s="2" t="n">
        <v>3</v>
      </c>
      <c r="E69" s="2" t="inlineStr">
        <is>
          <t>10-15</t>
        </is>
      </c>
      <c r="F69" s="2" t="n">
        <v>8</v>
      </c>
      <c r="G69" s="2"/>
      <c r="H69" s="2"/>
      <c r="I69" s="2" t="inlineStr">
        <is>
          <t>60 sec</t>
        </is>
      </c>
      <c r="J69" s="2"/>
      <c r="K69" s="2" t="inlineStr">
        <is>
          <t>25-50 total reps</t>
        </is>
      </c>
    </row>
    <row r="70" customFormat="false" ht="15" hidden="false" customHeight="false" outlineLevel="0" collapsed="false">
      <c r="A70" s="2" t="n">
        <v>4</v>
      </c>
      <c r="B70" s="2" t="inlineStr">
        <is>
          <t>Day 3</t>
        </is>
      </c>
      <c r="C70" s="2" t="inlineStr">
        <is>
          <t>Bench press (set 1)</t>
        </is>
      </c>
      <c r="D70" s="2" t="n">
        <v>1</v>
      </c>
      <c r="E70" s="2" t="n">
        <v>5</v>
      </c>
      <c r="F70" s="2"/>
      <c r="G70" s="2" t="inlineStr">
        <is>
          <t>36%</t>
        </is>
      </c>
      <c r="H70" s="2" t="n">
        <f aca="false">ROUND(Maxes!$B$3*0.36/5,0)*5</f>
        <v>80</v>
      </c>
      <c r="I70" s="2" t="inlineStr">
        <is>
          <t>2 min</t>
        </is>
      </c>
      <c r="J70" s="2"/>
      <c r="K70" s="2" t="inlineStr">
        <is>
          <t>Training max = 90% of 1RM. This week: Deload: 40% x5, 50% x5, 60% x5.</t>
        </is>
      </c>
    </row>
    <row r="71" customFormat="false" ht="15" hidden="false" customHeight="false" outlineLevel="0" collapsed="false">
      <c r="A71" s="2" t="n">
        <v>4</v>
      </c>
      <c r="B71" s="2" t="inlineStr">
        <is>
          <t>Day 3</t>
        </is>
      </c>
      <c r="C71" s="2" t="inlineStr">
        <is>
          <t>Bench press (set 2)</t>
        </is>
      </c>
      <c r="D71" s="2" t="n">
        <v>1</v>
      </c>
      <c r="E71" s="2" t="n">
        <v>5</v>
      </c>
      <c r="F71" s="2"/>
      <c r="G71" s="2" t="inlineStr">
        <is>
          <t>45%</t>
        </is>
      </c>
      <c r="H71" s="2" t="n">
        <f aca="false">ROUND(Maxes!$B$3*0.45/5,0)*5</f>
        <v>100</v>
      </c>
      <c r="I71" s="2" t="inlineStr">
        <is>
          <t>3 min</t>
        </is>
      </c>
      <c r="J71" s="2"/>
      <c r="K71" s="2"/>
    </row>
    <row r="72" customFormat="false" ht="15" hidden="false" customHeight="false" outlineLevel="0" collapsed="false">
      <c r="A72" s="2" t="n">
        <v>4</v>
      </c>
      <c r="B72" s="2" t="inlineStr">
        <is>
          <t>Day 3</t>
        </is>
      </c>
      <c r="C72" s="2" t="inlineStr">
        <is>
          <t>Bench press</t>
        </is>
      </c>
      <c r="D72" s="2" t="n">
        <v>1</v>
      </c>
      <c r="E72" s="2" t="n">
        <v>5</v>
      </c>
      <c r="F72" s="2"/>
      <c r="G72" s="2" t="inlineStr">
        <is>
          <t>54%</t>
        </is>
      </c>
      <c r="H72" s="2"/>
      <c r="I72" s="2" t="inlineStr">
        <is>
          <t>4 min</t>
        </is>
      </c>
      <c r="J72" s="2"/>
      <c r="K72" s="2" t="inlineStr">
        <is>
          <t>Deload: just 5 reps, no extra.</t>
        </is>
      </c>
    </row>
    <row r="73" customFormat="false" ht="15" hidden="false" customHeight="false" outlineLevel="0" collapsed="false">
      <c r="A73" s="2" t="n">
        <v>4</v>
      </c>
      <c r="B73" s="2" t="inlineStr">
        <is>
          <t>Day 3</t>
        </is>
      </c>
      <c r="C73" s="2" t="inlineStr">
        <is>
          <t>Assistance: pull (rows or chin-ups)</t>
        </is>
      </c>
      <c r="D73" s="2" t="n">
        <v>3</v>
      </c>
      <c r="E73" s="2" t="inlineStr">
        <is>
          <t>10-15</t>
        </is>
      </c>
      <c r="F73" s="2" t="n">
        <v>8</v>
      </c>
      <c r="G73" s="2"/>
      <c r="H73" s="2"/>
      <c r="I73" s="2" t="inlineStr">
        <is>
          <t>60 sec</t>
        </is>
      </c>
      <c r="J73" s="2"/>
      <c r="K73" s="2" t="inlineStr">
        <is>
          <t>25-50 total reps</t>
        </is>
      </c>
    </row>
    <row r="74" customFormat="false" ht="15" hidden="false" customHeight="false" outlineLevel="0" collapsed="false">
      <c r="A74" s="2" t="n">
        <v>4</v>
      </c>
      <c r="B74" s="2" t="inlineStr">
        <is>
          <t>Day 4</t>
        </is>
      </c>
      <c r="C74" s="2" t="inlineStr">
        <is>
          <t>Squat (set 1)</t>
        </is>
      </c>
      <c r="D74" s="2" t="n">
        <v>1</v>
      </c>
      <c r="E74" s="2" t="n">
        <v>5</v>
      </c>
      <c r="F74" s="2"/>
      <c r="G74" s="2" t="inlineStr">
        <is>
          <t>36%</t>
        </is>
      </c>
      <c r="H74" s="2" t="n">
        <f aca="false">ROUND(Maxes!$B$2*0.36/5,0)*5</f>
        <v>115</v>
      </c>
      <c r="I74" s="2" t="inlineStr">
        <is>
          <t>2 min</t>
        </is>
      </c>
      <c r="J74" s="2"/>
      <c r="K74" s="2" t="inlineStr">
        <is>
          <t>Training max = 90% of 1RM. This week: Deload: 40% x5, 50% x5, 60% x5.</t>
        </is>
      </c>
    </row>
    <row r="75" customFormat="false" ht="15" hidden="false" customHeight="false" outlineLevel="0" collapsed="false">
      <c r="A75" s="2" t="n">
        <v>4</v>
      </c>
      <c r="B75" s="2" t="inlineStr">
        <is>
          <t>Day 4</t>
        </is>
      </c>
      <c r="C75" s="2" t="inlineStr">
        <is>
          <t>Squat (set 2)</t>
        </is>
      </c>
      <c r="D75" s="2" t="n">
        <v>1</v>
      </c>
      <c r="E75" s="2" t="n">
        <v>5</v>
      </c>
      <c r="F75" s="2"/>
      <c r="G75" s="2" t="inlineStr">
        <is>
          <t>45%</t>
        </is>
      </c>
      <c r="H75" s="2" t="n">
        <f aca="false">ROUND(Maxes!$B$2*0.45/5,0)*5</f>
        <v>140</v>
      </c>
      <c r="I75" s="2" t="inlineStr">
        <is>
          <t>3 min</t>
        </is>
      </c>
      <c r="J75" s="2"/>
      <c r="K75" s="2"/>
    </row>
    <row r="76" customFormat="false" ht="15" hidden="false" customHeight="false" outlineLevel="0" collapsed="false">
      <c r="A76" s="2" t="n">
        <v>4</v>
      </c>
      <c r="B76" s="2" t="inlineStr">
        <is>
          <t>Day 4</t>
        </is>
      </c>
      <c r="C76" s="2" t="inlineStr">
        <is>
          <t>Squat</t>
        </is>
      </c>
      <c r="D76" s="2" t="n">
        <v>1</v>
      </c>
      <c r="E76" s="2" t="n">
        <v>5</v>
      </c>
      <c r="F76" s="2"/>
      <c r="G76" s="2" t="inlineStr">
        <is>
          <t>54%</t>
        </is>
      </c>
      <c r="H76" s="2"/>
      <c r="I76" s="2" t="inlineStr">
        <is>
          <t>4 min</t>
        </is>
      </c>
      <c r="J76" s="2"/>
      <c r="K76" s="2" t="inlineStr">
        <is>
          <t>Deload: just 5 reps, no extra.</t>
        </is>
      </c>
    </row>
    <row r="77" customFormat="false" ht="15" hidden="false" customHeight="false" outlineLevel="0" collapsed="false">
      <c r="A77" s="2" t="n">
        <v>4</v>
      </c>
      <c r="B77" s="2" t="inlineStr">
        <is>
          <t>Day 4</t>
        </is>
      </c>
      <c r="C77" s="2" t="inlineStr">
        <is>
          <t>Assistance: pull (rows or chin-ups)</t>
        </is>
      </c>
      <c r="D77" s="2" t="n">
        <v>3</v>
      </c>
      <c r="E77" s="2" t="inlineStr">
        <is>
          <t>10-15</t>
        </is>
      </c>
      <c r="F77" s="2" t="n">
        <v>8</v>
      </c>
      <c r="G77" s="2"/>
      <c r="H77" s="2"/>
      <c r="I77" s="2" t="inlineStr">
        <is>
          <t>60 sec</t>
        </is>
      </c>
      <c r="J77" s="2"/>
      <c r="K77" s="2" t="inlineStr">
        <is>
          <t>25-50 total reps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" t="s">
        <v>2</v>
      </c>
      <c r="B1" s="1" t="s">
        <v>40</v>
      </c>
      <c r="C1" s="1"/>
      <c r="D1" s="1" t="s">
        <v>41</v>
      </c>
    </row>
    <row r="2" customFormat="false" ht="15" hidden="false" customHeight="false" outlineLevel="0" collapsed="false">
      <c r="A2" s="2" t="s">
        <v>32</v>
      </c>
      <c r="B2" s="3" t="n">
        <v>315</v>
      </c>
      <c r="D2" s="2" t="s">
        <v>42</v>
      </c>
    </row>
    <row r="3" customFormat="false" ht="15" hidden="false" customHeight="false" outlineLevel="0" collapsed="false">
      <c r="A3" s="2" t="s">
        <v>29</v>
      </c>
      <c r="B3" s="3" t="n">
        <v>225</v>
      </c>
      <c r="D3" s="2" t="s">
        <v>43</v>
      </c>
    </row>
    <row r="4" customFormat="false" ht="15" hidden="false" customHeight="false" outlineLevel="0" collapsed="false">
      <c r="A4" s="2" t="s">
        <v>26</v>
      </c>
      <c r="B4" s="3" t="n">
        <v>405</v>
      </c>
    </row>
    <row r="5" customFormat="false" ht="15" hidden="false" customHeight="false" outlineLevel="0" collapsed="false">
      <c r="A5" s="2" t="s">
        <v>12</v>
      </c>
      <c r="B5" s="3" t="n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2026-10-28T20:47:11Z</dcterms:created>
  <dc:creator>openpyxl</dc:creator>
  <dc:description/>
  <dc:language>en-US</dc:language>
  <cp:lastModifiedBy/>
  <dcterms:modified xsi:type="dcterms:W3CDTF">2026-10-28T20:47:11Z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